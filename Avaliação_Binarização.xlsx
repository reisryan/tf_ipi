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49a581fa2a8fcc8/Área de Trabalho/Pastas/IPI/tf_ipi/"/>
    </mc:Choice>
  </mc:AlternateContent>
  <xr:revisionPtr revIDLastSave="0" documentId="8_{90C67B58-89C6-482F-B129-F77FB4C5E726}" xr6:coauthVersionLast="47" xr6:coauthVersionMax="47" xr10:uidLastSave="{00000000-0000-0000-0000-000000000000}"/>
  <bookViews>
    <workbookView xWindow="2835" yWindow="2100" windowWidth="15375" windowHeight="7875" xr2:uid="{156C95D9-43B2-4197-95B1-9198BA4313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M3" i="1"/>
  <c r="N3" i="1"/>
  <c r="O3" i="1"/>
  <c r="P3" i="1"/>
  <c r="Q3" i="1"/>
  <c r="R3" i="1"/>
  <c r="K3" i="1"/>
  <c r="L2" i="1"/>
  <c r="M2" i="1"/>
  <c r="N2" i="1"/>
  <c r="O2" i="1"/>
  <c r="P2" i="1"/>
  <c r="Q2" i="1"/>
  <c r="R2" i="1"/>
  <c r="K2" i="1"/>
</calcChain>
</file>

<file path=xl/sharedStrings.xml><?xml version="1.0" encoding="utf-8"?>
<sst xmlns="http://schemas.openxmlformats.org/spreadsheetml/2006/main" count="17" uniqueCount="17">
  <si>
    <t>FM</t>
  </si>
  <si>
    <t>DRD</t>
  </si>
  <si>
    <t>Imagem</t>
  </si>
  <si>
    <t>PSNR</t>
  </si>
  <si>
    <t>N-FM</t>
  </si>
  <si>
    <t>N-PFM</t>
  </si>
  <si>
    <t>PFM</t>
  </si>
  <si>
    <t>N-PSNR</t>
  </si>
  <si>
    <t>N-DRD</t>
  </si>
  <si>
    <t>Av.FM</t>
  </si>
  <si>
    <t>Av.PFM</t>
  </si>
  <si>
    <t>Av.PSNR</t>
  </si>
  <si>
    <t>Av.DRD</t>
  </si>
  <si>
    <t>Av.N-FM</t>
  </si>
  <si>
    <t>Av.N-PFM</t>
  </si>
  <si>
    <t>Av.N-PSNR</t>
  </si>
  <si>
    <t>Av.N-DRD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</si>
</sst>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E916-61F8-40D8-A51D-A87ED68D098C}">
  <dimension ref="A1:R11"/>
  <sheetViews>
    <sheetView tabSelected="1" topLeftCell="E1" workbookViewId="0">
      <selection activeCell="P5" sqref="P5"/>
    </sheetView>
  </sheetViews>
  <sheetFormatPr defaultRowHeight="15" x14ac:dyDescent="0.25"/>
  <sheetData>
    <row r="1" spans="1:18" x14ac:dyDescent="0.25">
      <c r="A1" t="s">
        <v>2</v>
      </c>
      <c r="B1" t="s">
        <v>0</v>
      </c>
      <c r="C1" t="s">
        <v>6</v>
      </c>
      <c r="D1" t="s">
        <v>3</v>
      </c>
      <c r="E1" t="s">
        <v>1</v>
      </c>
      <c r="F1" t="s">
        <v>4</v>
      </c>
      <c r="G1" t="s">
        <v>5</v>
      </c>
      <c r="H1" t="s">
        <v>7</v>
      </c>
      <c r="I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B2">
        <v>92.575699999999998</v>
      </c>
      <c r="C2">
        <v>93.432699999999997</v>
      </c>
      <c r="D2">
        <v>20.633299999999998</v>
      </c>
      <c r="E2">
        <v>1.9052</v>
      </c>
      <c r="F2">
        <v>88.718699999999998</v>
      </c>
      <c r="G2">
        <v>98.246099999999998</v>
      </c>
      <c r="H2">
        <v>19.3522</v>
      </c>
      <c r="I2">
        <v>2.8035000000000001</v>
      </c>
      <c r="K2">
        <f>AVERAGE(B2:B11)</f>
        <v>92.01400000000001</v>
      </c>
      <c r="L2">
        <f t="shared" ref="L2:R2" si="0">AVERAGE(C2:C11)</f>
        <v>95.532859999999999</v>
      </c>
      <c r="M2">
        <f t="shared" si="0"/>
        <v>18.883349999999997</v>
      </c>
      <c r="N2">
        <f t="shared" si="0"/>
        <v>2.4998800000000001</v>
      </c>
      <c r="O2">
        <f t="shared" si="0"/>
        <v>79.76294</v>
      </c>
      <c r="P2">
        <f t="shared" si="0"/>
        <v>83.921530000000004</v>
      </c>
      <c r="Q2">
        <f t="shared" si="0"/>
        <v>15.65001</v>
      </c>
      <c r="R2">
        <f t="shared" si="0"/>
        <v>7.4948300000000003</v>
      </c>
    </row>
    <row r="3" spans="1:18" x14ac:dyDescent="0.25">
      <c r="A3">
        <v>2</v>
      </c>
      <c r="B3">
        <v>86.088499999999996</v>
      </c>
      <c r="C3">
        <v>88.979799999999997</v>
      </c>
      <c r="D3">
        <v>16.8901</v>
      </c>
      <c r="E3">
        <v>3.7307999999999999</v>
      </c>
      <c r="F3">
        <v>86.661900000000003</v>
      </c>
      <c r="G3">
        <v>93.302800000000005</v>
      </c>
      <c r="H3">
        <v>17.102799999999998</v>
      </c>
      <c r="I3">
        <v>3.7726999999999999</v>
      </c>
      <c r="K3">
        <f>_xlfn.STDEV.S(B2:B11)</f>
        <v>3.9341266722531092</v>
      </c>
      <c r="L3">
        <f t="shared" ref="L3:R3" si="1">_xlfn.STDEV.S(C2:C11)</f>
        <v>4.3584021443133922</v>
      </c>
      <c r="M3">
        <f t="shared" si="1"/>
        <v>2.7927854857551582</v>
      </c>
      <c r="N3">
        <f t="shared" si="1"/>
        <v>1.3683074945185223</v>
      </c>
      <c r="O3">
        <f t="shared" si="1"/>
        <v>15.277107836760209</v>
      </c>
      <c r="P3">
        <f t="shared" si="1"/>
        <v>20.498215929958899</v>
      </c>
      <c r="Q3">
        <f t="shared" si="1"/>
        <v>3.6918400875594672</v>
      </c>
      <c r="R3">
        <f t="shared" si="1"/>
        <v>6.5269954503584566</v>
      </c>
    </row>
    <row r="4" spans="1:18" x14ac:dyDescent="0.25">
      <c r="A4">
        <v>3</v>
      </c>
      <c r="B4">
        <v>97.409899999999993</v>
      </c>
      <c r="C4">
        <v>99.114599999999996</v>
      </c>
      <c r="D4">
        <v>22.779900000000001</v>
      </c>
      <c r="E4">
        <v>1.31</v>
      </c>
      <c r="F4">
        <v>76.923400000000001</v>
      </c>
      <c r="G4">
        <v>74.888999999999996</v>
      </c>
      <c r="H4">
        <v>14.0816</v>
      </c>
      <c r="I4">
        <v>15.014699999999999</v>
      </c>
    </row>
    <row r="5" spans="1:18" x14ac:dyDescent="0.25">
      <c r="A5">
        <v>4</v>
      </c>
      <c r="B5">
        <v>94.184200000000004</v>
      </c>
      <c r="C5">
        <v>99.147199999999998</v>
      </c>
      <c r="D5">
        <v>17.7852</v>
      </c>
      <c r="E5">
        <v>1.7577</v>
      </c>
      <c r="F5">
        <v>75.993200000000002</v>
      </c>
      <c r="G5">
        <v>75.570099999999996</v>
      </c>
      <c r="H5">
        <v>12.3254</v>
      </c>
      <c r="I5">
        <v>9.1198999999999995</v>
      </c>
    </row>
    <row r="6" spans="1:18" x14ac:dyDescent="0.25">
      <c r="A6">
        <v>5</v>
      </c>
      <c r="B6">
        <v>93.433899999999994</v>
      </c>
      <c r="C6">
        <v>97.972700000000003</v>
      </c>
      <c r="D6">
        <v>16.931100000000001</v>
      </c>
      <c r="E6">
        <v>2.1928999999999998</v>
      </c>
      <c r="F6">
        <v>79.101699999999994</v>
      </c>
      <c r="G6">
        <v>82.4328</v>
      </c>
      <c r="H6">
        <v>12.4739</v>
      </c>
      <c r="I6" s="1">
        <v>8.2997999999999994</v>
      </c>
    </row>
    <row r="7" spans="1:18" x14ac:dyDescent="0.25">
      <c r="A7">
        <v>6</v>
      </c>
      <c r="B7">
        <v>93.717200000000005</v>
      </c>
      <c r="C7">
        <v>97.087500000000006</v>
      </c>
      <c r="D7">
        <v>17.340299999999999</v>
      </c>
      <c r="E7">
        <v>2.6490999999999998</v>
      </c>
      <c r="F7">
        <v>38.727600000000002</v>
      </c>
      <c r="G7">
        <v>31.353100000000001</v>
      </c>
      <c r="H7">
        <v>9.3308999999999997</v>
      </c>
      <c r="I7">
        <v>22.3401</v>
      </c>
    </row>
    <row r="8" spans="1:18" x14ac:dyDescent="0.25">
      <c r="A8">
        <v>7</v>
      </c>
      <c r="B8">
        <v>84.098600000000005</v>
      </c>
      <c r="C8">
        <v>86.920599999999993</v>
      </c>
      <c r="D8">
        <v>15.273</v>
      </c>
      <c r="E8">
        <v>5.8971</v>
      </c>
      <c r="F8">
        <v>86.746899999999997</v>
      </c>
      <c r="G8">
        <v>95.484300000000005</v>
      </c>
      <c r="H8">
        <v>16.6371</v>
      </c>
      <c r="I8">
        <v>3.5718000000000001</v>
      </c>
    </row>
    <row r="9" spans="1:18" x14ac:dyDescent="0.25">
      <c r="A9">
        <v>8</v>
      </c>
      <c r="B9">
        <v>93.260300000000001</v>
      </c>
      <c r="C9">
        <v>98.8947</v>
      </c>
      <c r="D9">
        <v>24.108899999999998</v>
      </c>
      <c r="E9">
        <v>1.6093999999999999</v>
      </c>
      <c r="F9">
        <v>88.720699999999994</v>
      </c>
      <c r="G9">
        <v>96.913399999999996</v>
      </c>
      <c r="H9">
        <v>22.012699999999999</v>
      </c>
      <c r="I9">
        <v>3.0392000000000001</v>
      </c>
    </row>
    <row r="10" spans="1:18" x14ac:dyDescent="0.25">
      <c r="A10">
        <v>9</v>
      </c>
      <c r="B10">
        <v>92.593599999999995</v>
      </c>
      <c r="C10">
        <v>96.579300000000003</v>
      </c>
      <c r="D10">
        <v>18.470500000000001</v>
      </c>
      <c r="E10">
        <v>2.0432999999999999</v>
      </c>
      <c r="F10">
        <v>88.650499999999994</v>
      </c>
      <c r="G10">
        <v>95.860900000000001</v>
      </c>
      <c r="H10">
        <v>16.799900000000001</v>
      </c>
      <c r="I10">
        <v>3.3121999999999998</v>
      </c>
    </row>
    <row r="11" spans="1:18" x14ac:dyDescent="0.25">
      <c r="A11">
        <v>10</v>
      </c>
      <c r="B11">
        <v>92.778099999999995</v>
      </c>
      <c r="C11">
        <v>97.1995</v>
      </c>
      <c r="D11">
        <v>18.621200000000002</v>
      </c>
      <c r="E11">
        <v>1.9033</v>
      </c>
      <c r="F11">
        <v>87.384799999999998</v>
      </c>
      <c r="G11">
        <v>95.162800000000004</v>
      </c>
      <c r="H11">
        <v>16.383600000000001</v>
      </c>
      <c r="I11">
        <v>3.6743999999999999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Elias</dc:creator>
  <cp:lastModifiedBy>Mateus Elias</cp:lastModifiedBy>
  <dcterms:created xsi:type="dcterms:W3CDTF">2026-07-15T16:07:20Z</dcterms:created>
  <dcterms:modified xsi:type="dcterms:W3CDTF">2026-07-15T16:44:39Z</dcterms:modified>
</cp:coreProperties>
</file>