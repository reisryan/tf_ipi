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449a581fa2a8fcc8/Área de Trabalho/Pastas/IPI/tf_ipi/"/>
    </mc:Choice>
  </mc:AlternateContent>
  <xr:revisionPtr revIDLastSave="76" documentId="8_{90C67B58-89C6-482F-B129-F77FB4C5E726}" xr6:coauthVersionLast="47" xr6:coauthVersionMax="47" xr10:uidLastSave="{36EAD0C0-3546-45E6-9CE3-3516E469152F}"/>
  <bookViews>
    <workbookView xWindow="-120" yWindow="-120" windowWidth="20730" windowHeight="11040" xr2:uid="{156C95D9-43B2-4197-95B1-9198BA43134C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L3" i="1" l="1"/>
  <c r="M3" i="1"/>
  <c r="N3" i="1"/>
  <c r="O3" i="1"/>
  <c r="P3" i="1"/>
  <c r="Q3" i="1"/>
  <c r="R3" i="1"/>
  <c r="K3" i="1"/>
  <c r="L2" i="1"/>
  <c r="M2" i="1"/>
  <c r="N2" i="1"/>
  <c r="O2" i="1"/>
  <c r="P2" i="1"/>
  <c r="Q2" i="1"/>
  <c r="R2" i="1"/>
  <c r="K2" i="1"/>
</calcChain>
</file>

<file path=xl/sharedStrings.xml><?xml version="1.0" encoding="utf-8"?>
<sst xmlns="http://schemas.openxmlformats.org/spreadsheetml/2006/main" count="31" uniqueCount="25">
  <si>
    <t>Método</t>
  </si>
  <si>
    <t>FM</t>
  </si>
  <si>
    <t>DRD</t>
  </si>
  <si>
    <t>Otsu</t>
  </si>
  <si>
    <t>Mitianoudis</t>
  </si>
  <si>
    <t>Imagem</t>
  </si>
  <si>
    <t>PSNR</t>
  </si>
  <si>
    <t>N-FM</t>
  </si>
  <si>
    <t>N-PFM</t>
  </si>
  <si>
    <t>PFM</t>
  </si>
  <si>
    <t>N-PSNR</t>
  </si>
  <si>
    <t>N-DRD</t>
  </si>
  <si>
    <t>Av.FM</t>
  </si>
  <si>
    <t>Av.PFM</t>
  </si>
  <si>
    <t>Av.PSNR</t>
  </si>
  <si>
    <t>Av.DRD</t>
  </si>
  <si>
    <t>Av.N-FM</t>
  </si>
  <si>
    <t>Av.N-PFM</t>
  </si>
  <si>
    <t>Av.N-PSNR</t>
  </si>
  <si>
    <t>Av.N-DRD</t>
  </si>
  <si>
    <t>Média</t>
  </si>
  <si>
    <t>Boudra</t>
  </si>
  <si>
    <t>Sauvola</t>
  </si>
  <si>
    <t>Nick</t>
  </si>
  <si>
    <t>Niblack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</si>
</sst>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u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emf"/><Relationship Id="rId2" Type="http://schemas.openxmlformats.org/officeDocument/2006/relationships/image" Target="../media/image2.emf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14</xdr:row>
      <xdr:rowOff>173934</xdr:rowOff>
    </xdr:from>
    <xdr:to>
      <xdr:col>5</xdr:col>
      <xdr:colOff>14927</xdr:colOff>
      <xdr:row>26</xdr:row>
      <xdr:rowOff>183779</xdr:rowOff>
    </xdr:to>
    <xdr:pic>
      <xdr:nvPicPr>
        <xdr:cNvPr id="4" name="Imagem 3">
          <a:extLst>
            <a:ext uri="{FF2B5EF4-FFF2-40B4-BE49-F238E27FC236}">
              <a16:creationId xmlns:a16="http://schemas.microsoft.com/office/drawing/2014/main" id="{665B2A50-AC7C-B072-9C6A-5B154AF1281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840934"/>
          <a:ext cx="3096057" cy="229584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15</xdr:row>
      <xdr:rowOff>0</xdr:rowOff>
    </xdr:from>
    <xdr:to>
      <xdr:col>11</xdr:col>
      <xdr:colOff>28575</xdr:colOff>
      <xdr:row>27</xdr:row>
      <xdr:rowOff>9525</xdr:rowOff>
    </xdr:to>
    <xdr:pic>
      <xdr:nvPicPr>
        <xdr:cNvPr id="6" name="Imagem 5">
          <a:extLst>
            <a:ext uri="{FF2B5EF4-FFF2-40B4-BE49-F238E27FC236}">
              <a16:creationId xmlns:a16="http://schemas.microsoft.com/office/drawing/2014/main" id="{E3E61015-414A-0207-C541-3875EC38422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95700" y="2857500"/>
          <a:ext cx="3095625" cy="2295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33</xdr:row>
      <xdr:rowOff>0</xdr:rowOff>
    </xdr:from>
    <xdr:to>
      <xdr:col>12</xdr:col>
      <xdr:colOff>9525</xdr:colOff>
      <xdr:row>40</xdr:row>
      <xdr:rowOff>9525</xdr:rowOff>
    </xdr:to>
    <xdr:pic>
      <xdr:nvPicPr>
        <xdr:cNvPr id="7" name="Imagem 6">
          <a:extLst>
            <a:ext uri="{FF2B5EF4-FFF2-40B4-BE49-F238E27FC236}">
              <a16:creationId xmlns:a16="http://schemas.microsoft.com/office/drawing/2014/main" id="{51DEC607-A772-F3B3-3322-80DD1FC1EC9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05300" y="6286500"/>
          <a:ext cx="3076575" cy="13430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1919469-E8A3-4F02-A548-A2C0F92CF52A}" name="Tabela1" displayName="Tabela1" ref="A1:E12" totalsRowShown="0">
  <autoFilter ref="A1:E12" xr:uid="{91919469-E8A3-4F02-A548-A2C0F92CF52A}"/>
  <tableColumns count="5">
    <tableColumn id="1" xr3:uid="{ADF5CC8F-72C8-42EE-99CE-A84BA52BD65E}" name="Imagem"/>
    <tableColumn id="2" xr3:uid="{7A08D677-4EF3-4022-BDC0-1FB35AAC0228}" name="FM"/>
    <tableColumn id="3" xr3:uid="{9C366623-040C-47AC-9823-DB6BE875151E}" name="PFM"/>
    <tableColumn id="4" xr3:uid="{789D4630-85C6-45EB-8A71-29E1F6D0E44A}" name="PSNR"/>
    <tableColumn id="5" xr3:uid="{648BD765-074E-44C8-8032-29E8E4B3B56E}" name="DRD"/>
  </tableColumns>
  <tableStyleInfo name="TableStyleMedium1" showFirstColumn="1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1E068482-F17C-49FC-BF85-04589EE5E063}" name="Tabela2" displayName="Tabela2" ref="F1:J12" totalsRowShown="0">
  <autoFilter ref="F1:J12" xr:uid="{1E068482-F17C-49FC-BF85-04589EE5E063}"/>
  <tableColumns count="5">
    <tableColumn id="1" xr3:uid="{5D7E468C-69FF-4CE4-912A-A0447ADC5B25}" name="Imagem"/>
    <tableColumn id="2" xr3:uid="{668E59EE-86C5-40EE-B04B-AFBDE3AD016E}" name="N-FM"/>
    <tableColumn id="3" xr3:uid="{39E0002D-95EF-45BD-B768-9622837AB50D}" name="N-PFM"/>
    <tableColumn id="4" xr3:uid="{748B7F80-6EAD-4CBF-90D0-16A297BBAF11}" name="N-PSNR"/>
    <tableColumn id="5" xr3:uid="{DD0272DA-18A1-43B1-A8C4-A64F244E4E2A}" name="N-DRD"/>
  </tableColumns>
  <tableStyleInfo name="TableStyleMedium1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F2EFCA00-AA7B-456B-B41C-4B1B669E8CAD}" name="Tabela3" displayName="Tabela3" ref="A29:E35" totalsRowShown="0">
  <autoFilter ref="A29:E35" xr:uid="{F2EFCA00-AA7B-456B-B41C-4B1B669E8CAD}"/>
  <tableColumns count="5">
    <tableColumn id="1" xr3:uid="{19E7BD1E-711A-47FE-8FFB-8DB1AE22A9A5}" name="Método"/>
    <tableColumn id="2" xr3:uid="{7A67B342-E612-4AEE-ACAD-62C8B9807CD5}" name="FM"/>
    <tableColumn id="3" xr3:uid="{A72FD11E-5BE2-4C08-8749-57E69FB943C8}" name="PFM"/>
    <tableColumn id="4" xr3:uid="{C7ACC1C6-F115-4873-A91F-6810895026DF}" name="PSNR"/>
    <tableColumn id="5" xr3:uid="{43F3B8E6-8C1B-4C3C-8C35-9BA6421B257B}" name="DRD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5" Type="http://schemas.openxmlformats.org/officeDocument/2006/relationships/table" Target="../tables/table3.xml"/><Relationship Id="rId4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C6E916-61F8-40D8-A51D-A87ED68D098C}">
  <dimension ref="A1:R35"/>
  <sheetViews>
    <sheetView tabSelected="1" topLeftCell="A27" zoomScale="115" zoomScaleNormal="115" workbookViewId="0">
      <selection activeCell="H34" sqref="H34"/>
    </sheetView>
  </sheetViews>
  <sheetFormatPr defaultRowHeight="15" x14ac:dyDescent="0.25"/>
  <cols>
    <col min="1" max="1" width="9.42578125" customWidth="1"/>
    <col min="6" max="6" width="9.42578125" customWidth="1"/>
    <col min="9" max="9" width="9.42578125" customWidth="1"/>
  </cols>
  <sheetData>
    <row r="1" spans="1:18" x14ac:dyDescent="0.25">
      <c r="A1" t="s">
        <v>5</v>
      </c>
      <c r="B1" t="s">
        <v>1</v>
      </c>
      <c r="C1" t="s">
        <v>9</v>
      </c>
      <c r="D1" t="s">
        <v>6</v>
      </c>
      <c r="E1" t="s">
        <v>2</v>
      </c>
      <c r="F1" t="s">
        <v>5</v>
      </c>
      <c r="G1" t="s">
        <v>7</v>
      </c>
      <c r="H1" t="s">
        <v>8</v>
      </c>
      <c r="I1" t="s">
        <v>10</v>
      </c>
      <c r="J1" t="s">
        <v>11</v>
      </c>
      <c r="K1" t="s">
        <v>12</v>
      </c>
      <c r="L1" t="s">
        <v>13</v>
      </c>
      <c r="M1" t="s">
        <v>14</v>
      </c>
      <c r="N1" t="s">
        <v>15</v>
      </c>
      <c r="O1" t="s">
        <v>16</v>
      </c>
      <c r="P1" t="s">
        <v>17</v>
      </c>
      <c r="Q1" t="s">
        <v>18</v>
      </c>
      <c r="R1" t="s">
        <v>19</v>
      </c>
    </row>
    <row r="2" spans="1:18" x14ac:dyDescent="0.25">
      <c r="A2">
        <v>1</v>
      </c>
      <c r="B2">
        <v>92.575699999999998</v>
      </c>
      <c r="C2">
        <v>93.432699999999997</v>
      </c>
      <c r="D2">
        <v>20.633299999999998</v>
      </c>
      <c r="E2">
        <v>1.9052</v>
      </c>
      <c r="F2">
        <v>1</v>
      </c>
      <c r="G2">
        <v>88.718699999999998</v>
      </c>
      <c r="H2">
        <v>98.246099999999998</v>
      </c>
      <c r="I2">
        <v>19.3522</v>
      </c>
      <c r="J2">
        <v>2.8035000000000001</v>
      </c>
      <c r="K2">
        <f>AVERAGE(B2:B11)</f>
        <v>92.01400000000001</v>
      </c>
      <c r="L2">
        <f t="shared" ref="L2:N2" si="0">AVERAGE(C2:C11)</f>
        <v>95.532859999999999</v>
      </c>
      <c r="M2">
        <f t="shared" si="0"/>
        <v>18.883349999999997</v>
      </c>
      <c r="N2">
        <f t="shared" si="0"/>
        <v>2.4998800000000001</v>
      </c>
      <c r="O2">
        <f>AVERAGE(G2:G11)</f>
        <v>79.76294</v>
      </c>
      <c r="P2">
        <f>AVERAGE(H2:H11)</f>
        <v>83.921530000000004</v>
      </c>
      <c r="Q2">
        <f>AVERAGE(I2:I11)</f>
        <v>15.65001</v>
      </c>
      <c r="R2">
        <f>AVERAGE(J2:J11)</f>
        <v>7.4948300000000003</v>
      </c>
    </row>
    <row r="3" spans="1:18" x14ac:dyDescent="0.25">
      <c r="A3">
        <v>2</v>
      </c>
      <c r="B3">
        <v>86.088499999999996</v>
      </c>
      <c r="C3">
        <v>88.979799999999997</v>
      </c>
      <c r="D3">
        <v>16.8901</v>
      </c>
      <c r="E3">
        <v>3.7307999999999999</v>
      </c>
      <c r="F3">
        <v>2</v>
      </c>
      <c r="G3">
        <v>86.661900000000003</v>
      </c>
      <c r="H3">
        <v>93.302800000000005</v>
      </c>
      <c r="I3">
        <v>17.102799999999998</v>
      </c>
      <c r="J3">
        <v>3.7726999999999999</v>
      </c>
      <c r="K3">
        <f>_xlfn.STDEV.S(B2:B11)</f>
        <v>3.9341266722531092</v>
      </c>
      <c r="L3">
        <f t="shared" ref="L3:N3" si="1">_xlfn.STDEV.S(C2:C11)</f>
        <v>4.3584021443133922</v>
      </c>
      <c r="M3">
        <f t="shared" si="1"/>
        <v>2.7927854857551582</v>
      </c>
      <c r="N3">
        <f t="shared" si="1"/>
        <v>1.3683074945185223</v>
      </c>
      <c r="O3">
        <f>_xlfn.STDEV.S(G2:G11)</f>
        <v>15.277107836760209</v>
      </c>
      <c r="P3">
        <f>_xlfn.STDEV.S(H2:H11)</f>
        <v>20.498215929958899</v>
      </c>
      <c r="Q3">
        <f>_xlfn.STDEV.S(I2:I11)</f>
        <v>3.6918400875594672</v>
      </c>
      <c r="R3">
        <f>_xlfn.STDEV.S(J2:J11)</f>
        <v>6.5269954503584566</v>
      </c>
    </row>
    <row r="4" spans="1:18" x14ac:dyDescent="0.25">
      <c r="A4">
        <v>3</v>
      </c>
      <c r="B4">
        <v>97.409899999999993</v>
      </c>
      <c r="C4">
        <v>99.114599999999996</v>
      </c>
      <c r="D4">
        <v>22.779900000000001</v>
      </c>
      <c r="E4">
        <v>1.31</v>
      </c>
      <c r="F4">
        <v>3</v>
      </c>
      <c r="G4">
        <v>76.923400000000001</v>
      </c>
      <c r="H4">
        <v>74.888999999999996</v>
      </c>
      <c r="I4">
        <v>14.0816</v>
      </c>
      <c r="J4">
        <v>15.014699999999999</v>
      </c>
    </row>
    <row r="5" spans="1:18" x14ac:dyDescent="0.25">
      <c r="A5">
        <v>4</v>
      </c>
      <c r="B5">
        <v>94.184200000000004</v>
      </c>
      <c r="C5">
        <v>99.147199999999998</v>
      </c>
      <c r="D5">
        <v>17.7852</v>
      </c>
      <c r="E5">
        <v>1.7577</v>
      </c>
      <c r="F5">
        <v>4</v>
      </c>
      <c r="G5">
        <v>75.993200000000002</v>
      </c>
      <c r="H5">
        <v>75.570099999999996</v>
      </c>
      <c r="I5">
        <v>12.3254</v>
      </c>
      <c r="J5">
        <v>9.1198999999999995</v>
      </c>
    </row>
    <row r="6" spans="1:18" x14ac:dyDescent="0.25">
      <c r="A6">
        <v>5</v>
      </c>
      <c r="B6">
        <v>93.433899999999994</v>
      </c>
      <c r="C6">
        <v>97.972700000000003</v>
      </c>
      <c r="D6">
        <v>16.931100000000001</v>
      </c>
      <c r="E6">
        <v>2.1928999999999998</v>
      </c>
      <c r="F6">
        <v>5</v>
      </c>
      <c r="G6">
        <v>79.101699999999994</v>
      </c>
      <c r="H6">
        <v>82.4328</v>
      </c>
      <c r="I6">
        <v>12.4739</v>
      </c>
      <c r="J6" s="1">
        <v>8.2997999999999994</v>
      </c>
    </row>
    <row r="7" spans="1:18" x14ac:dyDescent="0.25">
      <c r="A7">
        <v>6</v>
      </c>
      <c r="B7">
        <v>93.717200000000005</v>
      </c>
      <c r="C7">
        <v>97.087500000000006</v>
      </c>
      <c r="D7">
        <v>17.340299999999999</v>
      </c>
      <c r="E7">
        <v>2.6490999999999998</v>
      </c>
      <c r="F7">
        <v>6</v>
      </c>
      <c r="G7">
        <v>38.727600000000002</v>
      </c>
      <c r="H7">
        <v>31.353100000000001</v>
      </c>
      <c r="I7">
        <v>9.3308999999999997</v>
      </c>
      <c r="J7">
        <v>22.3401</v>
      </c>
    </row>
    <row r="8" spans="1:18" x14ac:dyDescent="0.25">
      <c r="A8">
        <v>7</v>
      </c>
      <c r="B8">
        <v>84.098600000000005</v>
      </c>
      <c r="C8">
        <v>86.920599999999993</v>
      </c>
      <c r="D8">
        <v>15.273</v>
      </c>
      <c r="E8">
        <v>5.8971</v>
      </c>
      <c r="F8">
        <v>7</v>
      </c>
      <c r="G8">
        <v>86.746899999999997</v>
      </c>
      <c r="H8">
        <v>95.484300000000005</v>
      </c>
      <c r="I8">
        <v>16.6371</v>
      </c>
      <c r="J8">
        <v>3.5718000000000001</v>
      </c>
    </row>
    <row r="9" spans="1:18" x14ac:dyDescent="0.25">
      <c r="A9">
        <v>8</v>
      </c>
      <c r="B9">
        <v>93.260300000000001</v>
      </c>
      <c r="C9">
        <v>98.8947</v>
      </c>
      <c r="D9">
        <v>24.108899999999998</v>
      </c>
      <c r="E9">
        <v>1.6093999999999999</v>
      </c>
      <c r="F9">
        <v>8</v>
      </c>
      <c r="G9">
        <v>88.720699999999994</v>
      </c>
      <c r="H9">
        <v>96.913399999999996</v>
      </c>
      <c r="I9">
        <v>22.012699999999999</v>
      </c>
      <c r="J9">
        <v>3.0392000000000001</v>
      </c>
    </row>
    <row r="10" spans="1:18" x14ac:dyDescent="0.25">
      <c r="A10">
        <v>9</v>
      </c>
      <c r="B10">
        <v>92.593599999999995</v>
      </c>
      <c r="C10">
        <v>96.579300000000003</v>
      </c>
      <c r="D10">
        <v>18.470500000000001</v>
      </c>
      <c r="E10">
        <v>2.0432999999999999</v>
      </c>
      <c r="F10">
        <v>9</v>
      </c>
      <c r="G10">
        <v>88.650499999999994</v>
      </c>
      <c r="H10">
        <v>95.860900000000001</v>
      </c>
      <c r="I10">
        <v>16.799900000000001</v>
      </c>
      <c r="J10">
        <v>3.3121999999999998</v>
      </c>
    </row>
    <row r="11" spans="1:18" x14ac:dyDescent="0.25">
      <c r="A11">
        <v>10</v>
      </c>
      <c r="B11">
        <v>92.778099999999995</v>
      </c>
      <c r="C11">
        <v>97.1995</v>
      </c>
      <c r="D11">
        <v>18.621200000000002</v>
      </c>
      <c r="E11">
        <v>1.9033</v>
      </c>
      <c r="F11">
        <v>10</v>
      </c>
      <c r="G11">
        <v>87.384799999999998</v>
      </c>
      <c r="H11">
        <v>95.162800000000004</v>
      </c>
      <c r="I11">
        <v>16.383600000000001</v>
      </c>
      <c r="J11">
        <v>3.6743999999999999</v>
      </c>
    </row>
    <row r="12" spans="1:18" x14ac:dyDescent="0.25">
      <c r="A12" t="s">
        <v>20</v>
      </c>
      <c r="B12">
        <v>92.01400000000001</v>
      </c>
      <c r="C12">
        <v>95.532859999999999</v>
      </c>
      <c r="D12">
        <v>18.883349999999997</v>
      </c>
      <c r="E12">
        <v>2.4998800000000001</v>
      </c>
      <c r="F12" t="s">
        <v>20</v>
      </c>
      <c r="G12">
        <v>79.76294</v>
      </c>
      <c r="H12">
        <v>83.921530000000004</v>
      </c>
      <c r="I12">
        <v>15.65001</v>
      </c>
      <c r="J12">
        <v>7.4948300000000003</v>
      </c>
    </row>
    <row r="29" spans="1:5" x14ac:dyDescent="0.25">
      <c r="A29" t="s">
        <v>0</v>
      </c>
      <c r="B29" t="s">
        <v>1</v>
      </c>
      <c r="C29" t="s">
        <v>9</v>
      </c>
      <c r="D29" t="s">
        <v>6</v>
      </c>
      <c r="E29" t="s">
        <v>2</v>
      </c>
    </row>
    <row r="30" spans="1:5" x14ac:dyDescent="0.25">
      <c r="A30" t="s">
        <v>21</v>
      </c>
      <c r="B30">
        <v>92.4</v>
      </c>
      <c r="C30">
        <v>96.46</v>
      </c>
      <c r="D30">
        <v>19.09</v>
      </c>
      <c r="E30">
        <v>2.2200000000000002</v>
      </c>
    </row>
    <row r="31" spans="1:5" x14ac:dyDescent="0.25">
      <c r="A31" t="s">
        <v>3</v>
      </c>
      <c r="B31">
        <v>91.63</v>
      </c>
      <c r="C31">
        <v>95.5</v>
      </c>
      <c r="D31">
        <v>18.71</v>
      </c>
      <c r="E31">
        <v>2.64</v>
      </c>
    </row>
    <row r="32" spans="1:5" x14ac:dyDescent="0.25">
      <c r="A32" t="s">
        <v>4</v>
      </c>
      <c r="B32">
        <v>89.77</v>
      </c>
      <c r="C32">
        <v>90.98</v>
      </c>
      <c r="D32">
        <v>18.46</v>
      </c>
      <c r="E32">
        <v>4.2270000000000003</v>
      </c>
    </row>
    <row r="33" spans="1:5" x14ac:dyDescent="0.25">
      <c r="A33" t="s">
        <v>22</v>
      </c>
      <c r="B33">
        <v>86.83</v>
      </c>
      <c r="C33">
        <v>91.8</v>
      </c>
      <c r="D33">
        <v>17.63</v>
      </c>
      <c r="E33">
        <v>4.8959999999999999</v>
      </c>
    </row>
    <row r="34" spans="1:5" x14ac:dyDescent="0.25">
      <c r="A34" t="s">
        <v>23</v>
      </c>
      <c r="B34">
        <v>87.8</v>
      </c>
      <c r="C34">
        <v>90.5</v>
      </c>
      <c r="D34">
        <v>17.59</v>
      </c>
      <c r="E34">
        <v>4.47</v>
      </c>
    </row>
    <row r="35" spans="1:5" x14ac:dyDescent="0.25">
      <c r="A35" t="s">
        <v>24</v>
      </c>
      <c r="B35">
        <v>45.49</v>
      </c>
      <c r="C35">
        <v>46.03</v>
      </c>
      <c r="D35">
        <v>6.72</v>
      </c>
      <c r="E35">
        <v>72.95</v>
      </c>
    </row>
  </sheetData>
  <pageMargins left="0.511811024" right="0.511811024" top="0.78740157499999996" bottom="0.78740157499999996" header="0.31496062000000002" footer="0.31496062000000002"/>
  <pageSetup paperSize="9" orientation="portrait" r:id="rId1"/>
  <drawing r:id="rId2"/>
  <tableParts count="3">
    <tablePart r:id="rId3"/>
    <tablePart r:id="rId4"/>
    <tablePart r:id="rId5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Mateus Elias</dc:creator>
  <cp:lastModifiedBy>Mateus Elias</cp:lastModifiedBy>
  <dcterms:created xsi:type="dcterms:W3CDTF">2026-07-15T16:07:20Z</dcterms:created>
  <dcterms:modified xsi:type="dcterms:W3CDTF">2026-07-15T19:22:41Z</dcterms:modified>
</cp:coreProperties>
</file>